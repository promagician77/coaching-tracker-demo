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Coach dashboard" sheetId="2" state="visible" r:id="rId4"/>
    <sheet name="Check-in" sheetId="3" state="visible" r:id="rId5"/>
    <sheet name="My progress" sheetId="4" state="visible" r:id="rId6"/>
    <sheet name="Client 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One row per check-in. Yellow cells are the only ones to fill in.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In the Google Sheets version this tab fills itself from each client's private sheet (IMPORTRANGE or a small script). Here it holds sample rows.</t>
        </r>
      </text>
    </comment>
  </commentList>
</comments>
</file>

<file path=xl/sharedStrings.xml><?xml version="1.0" encoding="utf-8"?>
<sst xmlns="http://schemas.openxmlformats.org/spreadsheetml/2006/main" count="154" uniqueCount="59">
  <si>
    <t xml:space="preserve">Coaching progress tracker</t>
  </si>
  <si>
    <t xml:space="preserve">How to use it</t>
  </si>
  <si>
    <t xml:space="preserve">1. Clients add one row per check-in on the Check-in tab. Yellow cells are the only cells to fill in.</t>
  </si>
  <si>
    <t xml:space="preserve">2. Dropdowns keep answers consistent: workouts 0-7, energy 1-5, nutrition Yes/No.</t>
  </si>
  <si>
    <t xml:space="preserve">3. My progress updates by itself - no typing needed there.</t>
  </si>
  <si>
    <t xml:space="preserve">4. Coach dashboard shows every client on one screen, colored by status.</t>
  </si>
  <si>
    <t xml:space="preserve">In the Google Sheets version</t>
  </si>
  <si>
    <t xml:space="preserve">- Each client gets their own private copy, so no one sees anyone else's data.</t>
  </si>
  <si>
    <t xml:space="preserve">- Clients can check in from their phone with a simple form instead of typing into cells.</t>
  </si>
  <si>
    <t xml:space="preserve">- The coach dashboard pulls from every client sheet automatically.</t>
  </si>
  <si>
    <t xml:space="preserve">Rows marked 'Sample' are example data. Delete them before use.</t>
  </si>
  <si>
    <t xml:space="preserve">Coach dashboard</t>
  </si>
  <si>
    <t xml:space="preserve">Review date</t>
  </si>
  <si>
    <t xml:space="preserve">Set a fixed date here to review an older week.</t>
  </si>
  <si>
    <t xml:space="preserve">Client</t>
  </si>
  <si>
    <t xml:space="preserve">Goal</t>
  </si>
  <si>
    <t xml:space="preserve">Last check-in</t>
  </si>
  <si>
    <t xml:space="preserve">Days since</t>
  </si>
  <si>
    <t xml:space="preserve">Weight change (kg)</t>
  </si>
  <si>
    <t xml:space="preserve">Workouts / week</t>
  </si>
  <si>
    <t xml:space="preserve">Nutrition on track</t>
  </si>
  <si>
    <t xml:space="preserve">Status</t>
  </si>
  <si>
    <t xml:space="preserve">Maria</t>
  </si>
  <si>
    <t xml:space="preserve">Lose</t>
  </si>
  <si>
    <t xml:space="preserve">Daniel</t>
  </si>
  <si>
    <t xml:space="preserve">Gain</t>
  </si>
  <si>
    <t xml:space="preserve">Linda</t>
  </si>
  <si>
    <t xml:space="preserve">Tom</t>
  </si>
  <si>
    <t xml:space="preserve">Maintain</t>
  </si>
  <si>
    <t xml:space="preserve">Grace</t>
  </si>
  <si>
    <t xml:space="preserve">Status rules: missed check-in after 10 days; needs attention if nutrition under 60%, fewer than 2 workouts a week, or weight moving away from the goal.</t>
  </si>
  <si>
    <t xml:space="preserve">Date</t>
  </si>
  <si>
    <t xml:space="preserve">Weight (kg)</t>
  </si>
  <si>
    <t xml:space="preserve">Waist (cm)</t>
  </si>
  <si>
    <t xml:space="preserve">Steps (daily avg)</t>
  </si>
  <si>
    <t xml:space="preserve">Workouts done</t>
  </si>
  <si>
    <t xml:space="preserve">Sleep (hours)</t>
  </si>
  <si>
    <t xml:space="preserve">Energy (1-5)</t>
  </si>
  <si>
    <t xml:space="preserve">Nutrition on track?</t>
  </si>
  <si>
    <t xml:space="preserve">Notes</t>
  </si>
  <si>
    <t xml:space="preserve">Row type</t>
  </si>
  <si>
    <t xml:space="preserve">Yes</t>
  </si>
  <si>
    <t xml:space="preserve">First week, sore legs</t>
  </si>
  <si>
    <t xml:space="preserve">Sample</t>
  </si>
  <si>
    <t xml:space="preserve">No</t>
  </si>
  <si>
    <t xml:space="preserve">Work trip, ate out</t>
  </si>
  <si>
    <t xml:space="preserve">Felt strong on squats</t>
  </si>
  <si>
    <t xml:space="preserve">Bit stressed</t>
  </si>
  <si>
    <t xml:space="preserve">Best week so far</t>
  </si>
  <si>
    <t xml:space="preserve">My progress</t>
  </si>
  <si>
    <t xml:space="preserve">Updates by itself from your check-ins.</t>
  </si>
  <si>
    <t xml:space="preserve">Check-ins so far</t>
  </si>
  <si>
    <t xml:space="preserve">Starting weight (kg)</t>
  </si>
  <si>
    <t xml:space="preserve">Latest weight (kg)</t>
  </si>
  <si>
    <t xml:space="preserve">Change (kg)</t>
  </si>
  <si>
    <t xml:space="preserve">Waist change (cm)</t>
  </si>
  <si>
    <t xml:space="preserve">Avg steps, last 4 check-ins</t>
  </si>
  <si>
    <t xml:space="preserve">Avg workouts per week</t>
  </si>
  <si>
    <t xml:space="preserve">Average energy (1-5)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</si>
</sst>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 mmm\ yyyy"/>
    <numFmt numFmtId="166" formatCode="dd\ mmm"/>
    <numFmt numFmtId="167" formatCode="0"/>
    <numFmt numFmtId="168" formatCode="\+0.0;\-0.0;0.0"/>
    <numFmt numFmtId="169" formatCode="0.0"/>
    <numFmt numFmtId="170" formatCode="0%"/>
    <numFmt numFmtId="171" formatCode="#,##0"/>
    <numFmt numFmtId="172" formatCode="\+0;\-0;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D6A4F"/>
      <name val="Arial"/>
      <family val="0"/>
      <charset val="1"/>
    </font>
    <font>
      <sz val="11"/>
      <color rgb="FF202124"/>
      <name val="Arial"/>
      <family val="0"/>
      <charset val="1"/>
    </font>
    <font>
      <b val="true"/>
      <sz val="13"/>
      <color rgb="FF202124"/>
      <name val="Arial"/>
      <family val="0"/>
      <charset val="1"/>
    </font>
    <font>
      <i val="true"/>
      <sz val="11"/>
      <color rgb="FF6B6B6B"/>
      <name val="Arial"/>
      <family val="0"/>
      <charset val="1"/>
    </font>
    <font>
      <i val="true"/>
      <sz val="10"/>
      <color rgb="FF6B6B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2"/>
      <color rgb="FF20212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9DB"/>
        <bgColor rgb="FFFFF3CD"/>
      </patternFill>
    </fill>
    <fill>
      <patternFill patternType="solid">
        <fgColor rgb="FF2D6A4F"/>
        <bgColor rgb="FF1B5E20"/>
      </patternFill>
    </fill>
    <fill>
      <patternFill patternType="solid">
        <fgColor rgb="FFF5F7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1B5E20"/>
      </font>
      <fill>
        <patternFill>
          <bgColor rgb="FFD8F3DC"/>
        </patternFill>
      </fill>
    </dxf>
    <dxf>
      <font>
        <name val="Arial"/>
        <charset val="1"/>
        <family val="0"/>
        <b val="1"/>
        <color rgb="FF8A5A00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A50E0E"/>
      </font>
      <fill>
        <patternFill>
          <bgColor rgb="FFFDE2E1"/>
        </patternFill>
      </fill>
    </dxf>
    <dxf>
      <font>
        <name val="Arial"/>
        <charset val="1"/>
        <family val="0"/>
        <b val="1"/>
        <color rgb="FFA50E0E"/>
      </font>
    </dxf>
    <dxf>
      <font>
        <name val="Arial"/>
        <charset val="1"/>
        <family val="0"/>
        <b val="1"/>
        <color rgb="FF2D6A4F"/>
      </font>
      <fill>
        <patternFill>
          <bgColor rgb="FFD8F3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50E0E"/>
      <rgbColor rgb="FF1B5E20"/>
      <rgbColor rgb="FF000080"/>
      <rgbColor rgb="FF8A5A00"/>
      <rgbColor rgb="FF800080"/>
      <rgbColor rgb="FF2D6A4F"/>
      <rgbColor rgb="FFC0C0C0"/>
      <rgbColor rgb="FF878787"/>
      <rgbColor rgb="FF9999FF"/>
      <rgbColor rgb="FF993366"/>
      <rgbColor rgb="FFFFF9DB"/>
      <rgbColor rgb="FFF5F7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3CD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Weight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'Check-in'!B1</c:f>
              <c:strCache>
                <c:ptCount val="1"/>
                <c:pt idx="0">
                  <c:v>Weight (kg)</c:v>
                </c:pt>
              </c:strCache>
            </c:strRef>
          </c:tx>
          <c:spPr>
            <a:solidFill>
              <a:srgbClr val="2d6a4f"/>
            </a:solidFill>
            <a:ln w="28080">
              <a:solidFill>
                <a:srgbClr val="2d6a4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'Check-in'!$A$2:$A$9</c:f>
              <c:strCache>
                <c:ptCount val="8"/>
                <c:pt idx="0">
                  <c:v>10 Aug 2026</c:v>
                </c:pt>
                <c:pt idx="1">
                  <c:v>17 Aug 2026</c:v>
                </c:pt>
                <c:pt idx="2">
                  <c:v>24 Aug 2026</c:v>
                </c:pt>
                <c:pt idx="3">
                  <c:v>31 Aug 2026</c:v>
                </c:pt>
                <c:pt idx="4">
                  <c:v>07 Sep 2026</c:v>
                </c:pt>
                <c:pt idx="5">
                  <c:v>14 Sep 2026</c:v>
                </c:pt>
                <c:pt idx="6">
                  <c:v>21 Sep 2026</c:v>
                </c:pt>
                <c:pt idx="7">
                  <c:v>28 Sep 2026</c:v>
                </c:pt>
              </c:strCache>
            </c:strRef>
          </c:cat>
          <c:val>
            <c:numRef>
              <c:f>'Check-in'!$B$2:$B$9</c:f>
              <c:numCache>
                <c:formatCode>0.0</c:formatCode>
                <c:ptCount val="8"/>
                <c:pt idx="0">
                  <c:v>82.4</c:v>
                </c:pt>
                <c:pt idx="1">
                  <c:v>81.9</c:v>
                </c:pt>
                <c:pt idx="2">
                  <c:v>81.6</c:v>
                </c:pt>
                <c:pt idx="3">
                  <c:v>81</c:v>
                </c:pt>
                <c:pt idx="4">
                  <c:v>80.7</c:v>
                </c:pt>
                <c:pt idx="5">
                  <c:v>80.8</c:v>
                </c:pt>
                <c:pt idx="6">
                  <c:v>80.1</c:v>
                </c:pt>
                <c:pt idx="7">
                  <c:v>79.8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048227"/>
        <c:axId val="17598879"/>
      </c:lineChart>
      <c:catAx>
        <c:axId val="22048227"/>
        <c:scaling>
          <c:orientation val="minMax"/>
        </c:scaling>
        <c:delete val="0"/>
        <c:axPos val="b"/>
        <c:numFmt formatCode="dd\ 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98879"/>
        <c:crosses val="autoZero"/>
        <c:auto val="1"/>
        <c:lblAlgn val="ctr"/>
        <c:lblOffset val="100"/>
        <c:noMultiLvlLbl val="0"/>
      </c:catAx>
      <c:valAx>
        <c:axId val="17598879"/>
        <c:scaling>
          <c:orientation val="minMax"/>
          <c:min val="78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482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Workouts per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'Check-in'!E1</c:f>
              <c:strCache>
                <c:ptCount val="1"/>
                <c:pt idx="0">
                  <c:v>Workouts done</c:v>
                </c:pt>
              </c:strCache>
            </c:strRef>
          </c:tx>
          <c:spPr>
            <a:solidFill>
              <a:srgbClr val="2d6a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'Check-in'!$A$2:$A$9</c:f>
              <c:strCache>
                <c:ptCount val="8"/>
                <c:pt idx="0">
                  <c:v>10 Aug 2026</c:v>
                </c:pt>
                <c:pt idx="1">
                  <c:v>17 Aug 2026</c:v>
                </c:pt>
                <c:pt idx="2">
                  <c:v>24 Aug 2026</c:v>
                </c:pt>
                <c:pt idx="3">
                  <c:v>31 Aug 2026</c:v>
                </c:pt>
                <c:pt idx="4">
                  <c:v>07 Sep 2026</c:v>
                </c:pt>
                <c:pt idx="5">
                  <c:v>14 Sep 2026</c:v>
                </c:pt>
                <c:pt idx="6">
                  <c:v>21 Sep 2026</c:v>
                </c:pt>
                <c:pt idx="7">
                  <c:v>28 Sep 2026</c:v>
                </c:pt>
              </c:strCache>
            </c:strRef>
          </c:cat>
          <c:val>
            <c:numRef>
              <c:f>'Check-in'!$E$2:$E$9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</c:ser>
        <c:gapWidth val="150"/>
        <c:overlap val="0"/>
        <c:axId val="21911343"/>
        <c:axId val="9892570"/>
      </c:barChart>
      <c:catAx>
        <c:axId val="21911343"/>
        <c:scaling>
          <c:orientation val="minMax"/>
        </c:scaling>
        <c:delete val="0"/>
        <c:axPos val="b"/>
        <c:numFmt formatCode="dd\ 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92570"/>
        <c:crosses val="autoZero"/>
        <c:auto val="1"/>
        <c:lblAlgn val="ctr"/>
        <c:lblOffset val="100"/>
        <c:noMultiLvlLbl val="0"/>
      </c:catAx>
      <c:valAx>
        <c:axId val="98925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113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13</xdr:col>
      <xdr:colOff>255960</xdr:colOff>
      <xdr:row>14</xdr:row>
      <xdr:rowOff>133560</xdr:rowOff>
    </xdr:to>
    <xdr:graphicFrame>
      <xdr:nvGraphicFramePr>
        <xdr:cNvPr id="0" name="Chart 1"/>
        <xdr:cNvGraphicFramePr/>
      </xdr:nvGraphicFramePr>
      <xdr:xfrm>
        <a:off x="4065120" y="190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16</xdr:row>
      <xdr:rowOff>101160</xdr:rowOff>
    </xdr:from>
    <xdr:to>
      <xdr:col>13</xdr:col>
      <xdr:colOff>255960</xdr:colOff>
      <xdr:row>30</xdr:row>
      <xdr:rowOff>133560</xdr:rowOff>
    </xdr:to>
    <xdr:graphicFrame>
      <xdr:nvGraphicFramePr>
        <xdr:cNvPr id="1" name="Chart 2"/>
        <xdr:cNvGraphicFramePr/>
      </xdr:nvGraphicFramePr>
      <xdr:xfrm>
        <a:off x="4065120" y="3238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B2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6.15" hidden="false" customHeight="false" outlineLevel="0" collapsed="false">
      <c r="B4" s="3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/>
    </row>
    <row r="10" customFormat="false" ht="16.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9"/>
    <col collapsed="false" customWidth="true" hidden="false" outlineLevel="0" max="6" min="6" style="0" width="16"/>
    <col collapsed="false" customWidth="true" hidden="false" outlineLevel="0" max="7" min="7" style="0" width="19"/>
    <col collapsed="false" customWidth="true" hidden="false" outlineLevel="0" max="8" min="8" style="0" width="18"/>
  </cols>
  <sheetData>
    <row r="1" customFormat="false" ht="22.05" hidden="false" customHeight="false" outlineLevel="0" collapsed="false">
      <c r="A1" s="5" t="s">
        <v>11</v>
      </c>
    </row>
    <row r="2" customFormat="false" ht="15" hidden="false" customHeight="false" outlineLevel="0" collapsed="false">
      <c r="A2" s="6" t="s">
        <v>12</v>
      </c>
      <c r="B2" s="7" t="n">
        <f aca="true">TODAY()</f>
        <v>46300</v>
      </c>
      <c r="C2" s="8" t="s">
        <v>13</v>
      </c>
    </row>
    <row r="4" customFormat="false" ht="31.5" hidden="false" customHeight="true" outlineLevel="0" collapsed="false">
      <c r="A4" s="9" t="s">
        <v>14</v>
      </c>
      <c r="B4" s="9" t="s">
        <v>15</v>
      </c>
      <c r="C4" s="9" t="s">
        <v>16</v>
      </c>
      <c r="D4" s="9" t="s">
        <v>17</v>
      </c>
      <c r="E4" s="9" t="s">
        <v>18</v>
      </c>
      <c r="F4" s="9" t="s">
        <v>19</v>
      </c>
      <c r="G4" s="9" t="s">
        <v>20</v>
      </c>
      <c r="H4" s="9" t="s">
        <v>21</v>
      </c>
    </row>
    <row r="5" customFormat="false" ht="15" hidden="false" customHeight="false" outlineLevel="0" collapsed="false">
      <c r="A5" s="10" t="s">
        <v>22</v>
      </c>
      <c r="B5" s="11" t="s">
        <v>23</v>
      </c>
      <c r="C5" s="12" t="n">
        <f aca="false">_xlfn.MAXIFS('Client data'!$B$2:$B$38,'Client data'!$A$2:$A$38,A5)</f>
        <v>46293</v>
      </c>
      <c r="D5" s="13" t="n">
        <f aca="false">$B$2-C5</f>
        <v>7</v>
      </c>
      <c r="E5" s="14" t="n">
        <f aca="false">SUMIFS('Client data'!$C$2:$C$38,'Client data'!$A$2:$A$38,A5,'Client data'!$B$2:$B$38,C5)-SUMIFS('Client data'!$C$2:$C$38,'Client data'!$A$2:$A$38,A5,'Client data'!$B$2:$B$38,_xlfn.MINIFS('Client data'!$B$2:$B$38,'Client data'!$A$2:$A$38,A5))</f>
        <v>-2.60000000000001</v>
      </c>
      <c r="F5" s="15" t="n">
        <f aca="false">AVERAGEIFS('Client data'!$D$2:$D$38,'Client data'!$A$2:$A$38,A5)</f>
        <v>3.75</v>
      </c>
      <c r="G5" s="16" t="n">
        <f aca="false">COUNTIFS('Client data'!$A$2:$A$38,A5,'Client data'!$E$2:$E$38,"Yes")/COUNTIF('Client data'!$A$2:$A$38,A5)</f>
        <v>0.875</v>
      </c>
      <c r="H5" s="11" t="str">
        <f aca="false">IF(D5&gt;10,"Missed check-in",IF(OR(G5&lt;0.6,F5&lt;2,AND(B5="Lose",E5&gt;0),AND(B5="Gain",E5&lt;0)),"Needs attention","On track"))</f>
        <v>On track</v>
      </c>
    </row>
    <row r="6" customFormat="false" ht="15" hidden="false" customHeight="false" outlineLevel="0" collapsed="false">
      <c r="A6" s="10" t="s">
        <v>24</v>
      </c>
      <c r="B6" s="11" t="s">
        <v>25</v>
      </c>
      <c r="C6" s="12" t="n">
        <f aca="false">_xlfn.MAXIFS('Client data'!$B$2:$B$38,'Client data'!$A$2:$A$38,A6)</f>
        <v>46293</v>
      </c>
      <c r="D6" s="13" t="n">
        <f aca="false">$B$2-C6</f>
        <v>7</v>
      </c>
      <c r="E6" s="14" t="n">
        <f aca="false">SUMIFS('Client data'!$C$2:$C$38,'Client data'!$A$2:$A$38,A6,'Client data'!$B$2:$B$38,C6)-SUMIFS('Client data'!$C$2:$C$38,'Client data'!$A$2:$A$38,A6,'Client data'!$B$2:$B$38,_xlfn.MINIFS('Client data'!$B$2:$B$38,'Client data'!$A$2:$A$38,A6))</f>
        <v>1.90000000000001</v>
      </c>
      <c r="F6" s="15" t="n">
        <f aca="false">AVERAGEIFS('Client data'!$D$2:$D$38,'Client data'!$A$2:$A$38,A6)</f>
        <v>4.375</v>
      </c>
      <c r="G6" s="16" t="n">
        <f aca="false">COUNTIFS('Client data'!$A$2:$A$38,A6,'Client data'!$E$2:$E$38,"Yes")/COUNTIF('Client data'!$A$2:$A$38,A6)</f>
        <v>0.875</v>
      </c>
      <c r="H6" s="11" t="str">
        <f aca="false">IF(D6&gt;10,"Missed check-in",IF(OR(G6&lt;0.6,F6&lt;2,AND(B6="Lose",E6&gt;0),AND(B6="Gain",E6&lt;0)),"Needs attention","On track"))</f>
        <v>On track</v>
      </c>
    </row>
    <row r="7" customFormat="false" ht="15" hidden="false" customHeight="false" outlineLevel="0" collapsed="false">
      <c r="A7" s="10" t="s">
        <v>26</v>
      </c>
      <c r="B7" s="11" t="s">
        <v>23</v>
      </c>
      <c r="C7" s="12" t="n">
        <f aca="false">_xlfn.MAXIFS('Client data'!$B$2:$B$38,'Client data'!$A$2:$A$38,A7)</f>
        <v>46279</v>
      </c>
      <c r="D7" s="13" t="n">
        <f aca="false">$B$2-C7</f>
        <v>21</v>
      </c>
      <c r="E7" s="14" t="n">
        <f aca="false">SUMIFS('Client data'!$C$2:$C$38,'Client data'!$A$2:$A$38,A7,'Client data'!$B$2:$B$38,C7)-SUMIFS('Client data'!$C$2:$C$38,'Client data'!$A$2:$A$38,A7,'Client data'!$B$2:$B$38,_xlfn.MINIFS('Client data'!$B$2:$B$38,'Client data'!$A$2:$A$38,A7))</f>
        <v>0.400000000000006</v>
      </c>
      <c r="F7" s="15" t="n">
        <f aca="false">AVERAGEIFS('Client data'!$D$2:$D$38,'Client data'!$A$2:$A$38,A7)</f>
        <v>1.16666666666667</v>
      </c>
      <c r="G7" s="16" t="n">
        <f aca="false">COUNTIFS('Client data'!$A$2:$A$38,A7,'Client data'!$E$2:$E$38,"Yes")/COUNTIF('Client data'!$A$2:$A$38,A7)</f>
        <v>0.166666666666667</v>
      </c>
      <c r="H7" s="11" t="str">
        <f aca="false">IF(D7&gt;10,"Missed check-in",IF(OR(G7&lt;0.6,F7&lt;2,AND(B7="Lose",E7&gt;0),AND(B7="Gain",E7&lt;0)),"Needs attention","On track"))</f>
        <v>Missed check-in</v>
      </c>
    </row>
    <row r="8" customFormat="false" ht="15" hidden="false" customHeight="false" outlineLevel="0" collapsed="false">
      <c r="A8" s="10" t="s">
        <v>27</v>
      </c>
      <c r="B8" s="11" t="s">
        <v>28</v>
      </c>
      <c r="C8" s="12" t="n">
        <f aca="false">_xlfn.MAXIFS('Client data'!$B$2:$B$38,'Client data'!$A$2:$A$38,A8)</f>
        <v>46293</v>
      </c>
      <c r="D8" s="13" t="n">
        <f aca="false">$B$2-C8</f>
        <v>7</v>
      </c>
      <c r="E8" s="14" t="n">
        <f aca="false">SUMIFS('Client data'!$C$2:$C$38,'Client data'!$A$2:$A$38,A8,'Client data'!$B$2:$B$38,C8)-SUMIFS('Client data'!$C$2:$C$38,'Client data'!$A$2:$A$38,A8,'Client data'!$B$2:$B$38,_xlfn.MINIFS('Client data'!$B$2:$B$38,'Client data'!$A$2:$A$38,A8))</f>
        <v>0</v>
      </c>
      <c r="F8" s="15" t="n">
        <f aca="false">AVERAGEIFS('Client data'!$D$2:$D$38,'Client data'!$A$2:$A$38,A8)</f>
        <v>3.25</v>
      </c>
      <c r="G8" s="16" t="n">
        <f aca="false">COUNTIFS('Client data'!$A$2:$A$38,A8,'Client data'!$E$2:$E$38,"Yes")/COUNTIF('Client data'!$A$2:$A$38,A8)</f>
        <v>0.875</v>
      </c>
      <c r="H8" s="11" t="str">
        <f aca="false">IF(D8&gt;10,"Missed check-in",IF(OR(G8&lt;0.6,F8&lt;2,AND(B8="Lose",E8&gt;0),AND(B8="Gain",E8&lt;0)),"Needs attention","On track"))</f>
        <v>On track</v>
      </c>
    </row>
    <row r="9" customFormat="false" ht="15" hidden="false" customHeight="false" outlineLevel="0" collapsed="false">
      <c r="A9" s="10" t="s">
        <v>29</v>
      </c>
      <c r="B9" s="11" t="s">
        <v>23</v>
      </c>
      <c r="C9" s="12" t="n">
        <f aca="false">_xlfn.MAXIFS('Client data'!$B$2:$B$38,'Client data'!$A$2:$A$38,A9)</f>
        <v>46290</v>
      </c>
      <c r="D9" s="13" t="n">
        <f aca="false">$B$2-C9</f>
        <v>10</v>
      </c>
      <c r="E9" s="14" t="n">
        <f aca="false">SUMIFS('Client data'!$C$2:$C$38,'Client data'!$A$2:$A$38,A9,'Client data'!$B$2:$B$38,C9)-SUMIFS('Client data'!$C$2:$C$38,'Client data'!$A$2:$A$38,A9,'Client data'!$B$2:$B$38,_xlfn.MINIFS('Client data'!$B$2:$B$38,'Client data'!$A$2:$A$38,A9))</f>
        <v>0.5</v>
      </c>
      <c r="F9" s="15" t="n">
        <f aca="false">AVERAGEIFS('Client data'!$D$2:$D$38,'Client data'!$A$2:$A$38,A9)</f>
        <v>1.85714285714286</v>
      </c>
      <c r="G9" s="16" t="n">
        <f aca="false">COUNTIFS('Client data'!$A$2:$A$38,A9,'Client data'!$E$2:$E$38,"Yes")/COUNTIF('Client data'!$A$2:$A$38,A9)</f>
        <v>0.285714285714286</v>
      </c>
      <c r="H9" s="11" t="str">
        <f aca="false">IF(D9&gt;10,"Missed check-in",IF(OR(G9&lt;0.6,F9&lt;2,AND(B9="Lose",E9&gt;0),AND(B9="Gain",E9&lt;0)),"Needs attention","On track"))</f>
        <v>Needs attention</v>
      </c>
    </row>
    <row r="11" customFormat="false" ht="15" hidden="false" customHeight="false" outlineLevel="0" collapsed="false">
      <c r="A11" s="8" t="s">
        <v>30</v>
      </c>
    </row>
  </sheetData>
  <conditionalFormatting sqref="H5:H9">
    <cfRule type="cellIs" priority="2" operator="equal" aboveAverage="0" equalAverage="0" bottom="0" percent="0" rank="0" text="" dxfId="0">
      <formula>"On track"</formula>
    </cfRule>
    <cfRule type="cellIs" priority="3" operator="equal" aboveAverage="0" equalAverage="0" bottom="0" percent="0" rank="0" text="" dxfId="1">
      <formula>"Needs attention"</formula>
    </cfRule>
    <cfRule type="cellIs" priority="4" operator="equal" aboveAverage="0" equalAverage="0" bottom="0" percent="0" rank="0" text="" dxfId="2">
      <formula>"Missed check-in"</formula>
    </cfRule>
  </conditionalFormatting>
  <conditionalFormatting sqref="D5:D9">
    <cfRule type="cellIs" priority="5" operator="greaterThan" aboveAverage="0" equalAverage="0" bottom="0" percent="0" rank="0" text="" dxfId="3">
      <formula>10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9"/>
    <col collapsed="false" customWidth="true" hidden="false" outlineLevel="0" max="9" min="9" style="0" width="40"/>
    <col collapsed="false" customWidth="true" hidden="false" outlineLevel="0" max="10" min="10" style="0" width="11"/>
  </cols>
  <sheetData>
    <row r="1" customFormat="false" ht="31.5" hidden="false" customHeight="true" outlineLevel="0" collapsed="false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9" t="s">
        <v>38</v>
      </c>
      <c r="I1" s="9" t="s">
        <v>39</v>
      </c>
      <c r="J1" s="9" t="s">
        <v>40</v>
      </c>
    </row>
    <row r="2" customFormat="false" ht="15" hidden="false" customHeight="false" outlineLevel="0" collapsed="false">
      <c r="A2" s="17" t="n">
        <v>46244</v>
      </c>
      <c r="B2" s="18" t="n">
        <v>82.4</v>
      </c>
      <c r="C2" s="18" t="n">
        <v>94</v>
      </c>
      <c r="D2" s="19" t="n">
        <v>6200</v>
      </c>
      <c r="E2" s="20" t="n">
        <v>3</v>
      </c>
      <c r="F2" s="18" t="n">
        <v>6.5</v>
      </c>
      <c r="G2" s="20" t="n">
        <v>3</v>
      </c>
      <c r="H2" s="20" t="s">
        <v>41</v>
      </c>
      <c r="I2" s="20" t="s">
        <v>42</v>
      </c>
      <c r="J2" s="21" t="s">
        <v>43</v>
      </c>
    </row>
    <row r="3" customFormat="false" ht="15" hidden="false" customHeight="false" outlineLevel="0" collapsed="false">
      <c r="A3" s="17" t="n">
        <v>46251</v>
      </c>
      <c r="B3" s="18" t="n">
        <v>81.9</v>
      </c>
      <c r="C3" s="18" t="n">
        <v>93</v>
      </c>
      <c r="D3" s="19" t="n">
        <v>7100</v>
      </c>
      <c r="E3" s="20" t="n">
        <v>4</v>
      </c>
      <c r="F3" s="18" t="n">
        <v>7</v>
      </c>
      <c r="G3" s="20" t="n">
        <v>3</v>
      </c>
      <c r="H3" s="20" t="s">
        <v>41</v>
      </c>
      <c r="I3" s="20"/>
      <c r="J3" s="21" t="s">
        <v>43</v>
      </c>
    </row>
    <row r="4" customFormat="false" ht="15" hidden="false" customHeight="false" outlineLevel="0" collapsed="false">
      <c r="A4" s="17" t="n">
        <v>46258</v>
      </c>
      <c r="B4" s="18" t="n">
        <v>81.6</v>
      </c>
      <c r="C4" s="18" t="n">
        <v>93</v>
      </c>
      <c r="D4" s="19" t="n">
        <v>6800</v>
      </c>
      <c r="E4" s="20" t="n">
        <v>3</v>
      </c>
      <c r="F4" s="18" t="n">
        <v>6</v>
      </c>
      <c r="G4" s="20" t="n">
        <v>2</v>
      </c>
      <c r="H4" s="20" t="s">
        <v>44</v>
      </c>
      <c r="I4" s="20" t="s">
        <v>45</v>
      </c>
      <c r="J4" s="21" t="s">
        <v>43</v>
      </c>
    </row>
    <row r="5" customFormat="false" ht="15" hidden="false" customHeight="false" outlineLevel="0" collapsed="false">
      <c r="A5" s="17" t="n">
        <v>46265</v>
      </c>
      <c r="B5" s="18" t="n">
        <v>81</v>
      </c>
      <c r="C5" s="18" t="n">
        <v>92</v>
      </c>
      <c r="D5" s="19" t="n">
        <v>8200</v>
      </c>
      <c r="E5" s="20" t="n">
        <v>4</v>
      </c>
      <c r="F5" s="18" t="n">
        <v>7.5</v>
      </c>
      <c r="G5" s="20" t="n">
        <v>4</v>
      </c>
      <c r="H5" s="20" t="s">
        <v>41</v>
      </c>
      <c r="I5" s="20" t="s">
        <v>46</v>
      </c>
      <c r="J5" s="21" t="s">
        <v>43</v>
      </c>
    </row>
    <row r="6" customFormat="false" ht="15" hidden="false" customHeight="false" outlineLevel="0" collapsed="false">
      <c r="A6" s="17" t="n">
        <v>46272</v>
      </c>
      <c r="B6" s="18" t="n">
        <v>80.7</v>
      </c>
      <c r="C6" s="18" t="n">
        <v>91</v>
      </c>
      <c r="D6" s="19" t="n">
        <v>8600</v>
      </c>
      <c r="E6" s="20" t="n">
        <v>4</v>
      </c>
      <c r="F6" s="18" t="n">
        <v>7</v>
      </c>
      <c r="G6" s="20" t="n">
        <v>4</v>
      </c>
      <c r="H6" s="20" t="s">
        <v>41</v>
      </c>
      <c r="I6" s="20"/>
      <c r="J6" s="21" t="s">
        <v>43</v>
      </c>
    </row>
    <row r="7" customFormat="false" ht="15" hidden="false" customHeight="false" outlineLevel="0" collapsed="false">
      <c r="A7" s="17" t="n">
        <v>46279</v>
      </c>
      <c r="B7" s="18" t="n">
        <v>80.8</v>
      </c>
      <c r="C7" s="18" t="n">
        <v>91</v>
      </c>
      <c r="D7" s="19" t="n">
        <v>7900</v>
      </c>
      <c r="E7" s="20" t="n">
        <v>3</v>
      </c>
      <c r="F7" s="18" t="n">
        <v>6.5</v>
      </c>
      <c r="G7" s="20" t="n">
        <v>3</v>
      </c>
      <c r="H7" s="20" t="s">
        <v>41</v>
      </c>
      <c r="I7" s="20" t="s">
        <v>47</v>
      </c>
      <c r="J7" s="21" t="s">
        <v>43</v>
      </c>
    </row>
    <row r="8" customFormat="false" ht="15" hidden="false" customHeight="false" outlineLevel="0" collapsed="false">
      <c r="A8" s="17" t="n">
        <v>46286</v>
      </c>
      <c r="B8" s="18" t="n">
        <v>80.1</v>
      </c>
      <c r="C8" s="18" t="n">
        <v>90</v>
      </c>
      <c r="D8" s="19" t="n">
        <v>9100</v>
      </c>
      <c r="E8" s="20" t="n">
        <v>5</v>
      </c>
      <c r="F8" s="18" t="n">
        <v>7.5</v>
      </c>
      <c r="G8" s="20" t="n">
        <v>5</v>
      </c>
      <c r="H8" s="20" t="s">
        <v>41</v>
      </c>
      <c r="I8" s="20" t="s">
        <v>48</v>
      </c>
      <c r="J8" s="21" t="s">
        <v>43</v>
      </c>
    </row>
    <row r="9" customFormat="false" ht="15" hidden="false" customHeight="false" outlineLevel="0" collapsed="false">
      <c r="A9" s="17" t="n">
        <v>46293</v>
      </c>
      <c r="B9" s="18" t="n">
        <v>79.8</v>
      </c>
      <c r="C9" s="18" t="n">
        <v>89</v>
      </c>
      <c r="D9" s="19" t="n">
        <v>9400</v>
      </c>
      <c r="E9" s="20" t="n">
        <v>4</v>
      </c>
      <c r="F9" s="18" t="n">
        <v>7</v>
      </c>
      <c r="G9" s="20" t="n">
        <v>4</v>
      </c>
      <c r="H9" s="20" t="s">
        <v>41</v>
      </c>
      <c r="I9" s="20"/>
      <c r="J9" s="21" t="s">
        <v>43</v>
      </c>
    </row>
    <row r="10" customFormat="false" ht="15" hidden="false" customHeight="false" outlineLevel="0" collapsed="false">
      <c r="A10" s="17"/>
      <c r="B10" s="18"/>
      <c r="C10" s="18"/>
      <c r="D10" s="19"/>
      <c r="E10" s="20"/>
      <c r="F10" s="18"/>
      <c r="G10" s="20"/>
      <c r="H10" s="20"/>
      <c r="I10" s="20"/>
      <c r="J10" s="21"/>
    </row>
    <row r="11" customFormat="false" ht="15" hidden="false" customHeight="false" outlineLevel="0" collapsed="false">
      <c r="A11" s="17"/>
      <c r="B11" s="18"/>
      <c r="C11" s="18"/>
      <c r="D11" s="19"/>
      <c r="E11" s="20"/>
      <c r="F11" s="18"/>
      <c r="G11" s="20"/>
      <c r="H11" s="20"/>
      <c r="I11" s="20"/>
      <c r="J11" s="21"/>
    </row>
    <row r="12" customFormat="false" ht="15" hidden="false" customHeight="false" outlineLevel="0" collapsed="false">
      <c r="A12" s="17"/>
      <c r="B12" s="18"/>
      <c r="C12" s="18"/>
      <c r="D12" s="19"/>
      <c r="E12" s="20"/>
      <c r="F12" s="18"/>
      <c r="G12" s="20"/>
      <c r="H12" s="20"/>
      <c r="I12" s="20"/>
      <c r="J12" s="21"/>
    </row>
    <row r="13" customFormat="false" ht="15" hidden="false" customHeight="false" outlineLevel="0" collapsed="false">
      <c r="A13" s="17"/>
      <c r="B13" s="18"/>
      <c r="C13" s="18"/>
      <c r="D13" s="19"/>
      <c r="E13" s="20"/>
      <c r="F13" s="18"/>
      <c r="G13" s="20"/>
      <c r="H13" s="20"/>
      <c r="I13" s="20"/>
      <c r="J13" s="21"/>
    </row>
    <row r="14" customFormat="false" ht="15" hidden="false" customHeight="false" outlineLevel="0" collapsed="false">
      <c r="A14" s="17"/>
      <c r="B14" s="18"/>
      <c r="C14" s="18"/>
      <c r="D14" s="19"/>
      <c r="E14" s="20"/>
      <c r="F14" s="18"/>
      <c r="G14" s="20"/>
      <c r="H14" s="20"/>
      <c r="I14" s="20"/>
      <c r="J14" s="21"/>
    </row>
    <row r="15" customFormat="false" ht="15" hidden="false" customHeight="false" outlineLevel="0" collapsed="false">
      <c r="A15" s="17"/>
      <c r="B15" s="18"/>
      <c r="C15" s="18"/>
      <c r="D15" s="19"/>
      <c r="E15" s="20"/>
      <c r="F15" s="18"/>
      <c r="G15" s="20"/>
      <c r="H15" s="20"/>
      <c r="I15" s="20"/>
      <c r="J15" s="21"/>
    </row>
    <row r="16" customFormat="false" ht="15" hidden="false" customHeight="false" outlineLevel="0" collapsed="false">
      <c r="A16" s="17"/>
      <c r="B16" s="18"/>
      <c r="C16" s="18"/>
      <c r="D16" s="19"/>
      <c r="E16" s="20"/>
      <c r="F16" s="18"/>
      <c r="G16" s="20"/>
      <c r="H16" s="20"/>
      <c r="I16" s="20"/>
      <c r="J16" s="21"/>
    </row>
    <row r="17" customFormat="false" ht="15" hidden="false" customHeight="false" outlineLevel="0" collapsed="false">
      <c r="A17" s="17"/>
      <c r="B17" s="18"/>
      <c r="C17" s="18"/>
      <c r="D17" s="19"/>
      <c r="E17" s="20"/>
      <c r="F17" s="18"/>
      <c r="G17" s="20"/>
      <c r="H17" s="20"/>
      <c r="I17" s="20"/>
      <c r="J17" s="21"/>
    </row>
    <row r="18" customFormat="false" ht="15" hidden="false" customHeight="false" outlineLevel="0" collapsed="false">
      <c r="A18" s="17"/>
      <c r="B18" s="18"/>
      <c r="C18" s="18"/>
      <c r="D18" s="19"/>
      <c r="E18" s="20"/>
      <c r="F18" s="18"/>
      <c r="G18" s="20"/>
      <c r="H18" s="20"/>
      <c r="I18" s="20"/>
      <c r="J18" s="21"/>
    </row>
    <row r="19" customFormat="false" ht="15" hidden="false" customHeight="false" outlineLevel="0" collapsed="false">
      <c r="A19" s="17"/>
      <c r="B19" s="18"/>
      <c r="C19" s="18"/>
      <c r="D19" s="19"/>
      <c r="E19" s="20"/>
      <c r="F19" s="18"/>
      <c r="G19" s="20"/>
      <c r="H19" s="20"/>
      <c r="I19" s="20"/>
      <c r="J19" s="21"/>
    </row>
    <row r="20" customFormat="false" ht="15" hidden="false" customHeight="false" outlineLevel="0" collapsed="false">
      <c r="A20" s="17"/>
      <c r="B20" s="18"/>
      <c r="C20" s="18"/>
      <c r="D20" s="19"/>
      <c r="E20" s="20"/>
      <c r="F20" s="18"/>
      <c r="G20" s="20"/>
      <c r="H20" s="20"/>
      <c r="I20" s="20"/>
      <c r="J20" s="21"/>
    </row>
    <row r="21" customFormat="false" ht="15" hidden="false" customHeight="false" outlineLevel="0" collapsed="false">
      <c r="A21" s="17"/>
      <c r="B21" s="18"/>
      <c r="C21" s="18"/>
      <c r="D21" s="19"/>
      <c r="E21" s="20"/>
      <c r="F21" s="18"/>
      <c r="G21" s="20"/>
      <c r="H21" s="20"/>
      <c r="I21" s="20"/>
      <c r="J21" s="21"/>
    </row>
    <row r="22" customFormat="false" ht="15" hidden="false" customHeight="false" outlineLevel="0" collapsed="false">
      <c r="A22" s="17"/>
      <c r="B22" s="18"/>
      <c r="C22" s="18"/>
      <c r="D22" s="19"/>
      <c r="E22" s="20"/>
      <c r="F22" s="18"/>
      <c r="G22" s="20"/>
      <c r="H22" s="20"/>
      <c r="I22" s="20"/>
      <c r="J22" s="21"/>
    </row>
    <row r="23" customFormat="false" ht="15" hidden="false" customHeight="false" outlineLevel="0" collapsed="false">
      <c r="A23" s="17"/>
      <c r="B23" s="18"/>
      <c r="C23" s="18"/>
      <c r="D23" s="19"/>
      <c r="E23" s="20"/>
      <c r="F23" s="18"/>
      <c r="G23" s="20"/>
      <c r="H23" s="20"/>
      <c r="I23" s="20"/>
      <c r="J23" s="21"/>
    </row>
    <row r="24" customFormat="false" ht="15" hidden="false" customHeight="false" outlineLevel="0" collapsed="false">
      <c r="A24" s="17"/>
      <c r="B24" s="18"/>
      <c r="C24" s="18"/>
      <c r="D24" s="19"/>
      <c r="E24" s="20"/>
      <c r="F24" s="18"/>
      <c r="G24" s="20"/>
      <c r="H24" s="20"/>
      <c r="I24" s="20"/>
      <c r="J24" s="21"/>
    </row>
    <row r="25" customFormat="false" ht="15" hidden="false" customHeight="false" outlineLevel="0" collapsed="false">
      <c r="A25" s="17"/>
      <c r="B25" s="18"/>
      <c r="C25" s="18"/>
      <c r="D25" s="19"/>
      <c r="E25" s="20"/>
      <c r="F25" s="18"/>
      <c r="G25" s="20"/>
      <c r="H25" s="20"/>
      <c r="I25" s="20"/>
      <c r="J25" s="21"/>
    </row>
    <row r="26" customFormat="false" ht="15" hidden="false" customHeight="false" outlineLevel="0" collapsed="false">
      <c r="A26" s="17"/>
      <c r="B26" s="18"/>
      <c r="C26" s="18"/>
      <c r="D26" s="19"/>
      <c r="E26" s="20"/>
      <c r="F26" s="18"/>
      <c r="G26" s="20"/>
      <c r="H26" s="20"/>
      <c r="I26" s="20"/>
      <c r="J26" s="21"/>
    </row>
    <row r="27" customFormat="false" ht="15" hidden="false" customHeight="false" outlineLevel="0" collapsed="false">
      <c r="A27" s="17"/>
      <c r="B27" s="18"/>
      <c r="C27" s="18"/>
      <c r="D27" s="19"/>
      <c r="E27" s="20"/>
      <c r="F27" s="18"/>
      <c r="G27" s="20"/>
      <c r="H27" s="20"/>
      <c r="I27" s="20"/>
      <c r="J27" s="21"/>
    </row>
    <row r="28" customFormat="false" ht="15" hidden="false" customHeight="false" outlineLevel="0" collapsed="false">
      <c r="A28" s="17"/>
      <c r="B28" s="18"/>
      <c r="C28" s="18"/>
      <c r="D28" s="19"/>
      <c r="E28" s="20"/>
      <c r="F28" s="18"/>
      <c r="G28" s="20"/>
      <c r="H28" s="20"/>
      <c r="I28" s="20"/>
      <c r="J28" s="21"/>
    </row>
    <row r="29" customFormat="false" ht="15" hidden="false" customHeight="false" outlineLevel="0" collapsed="false">
      <c r="A29" s="17"/>
      <c r="B29" s="18"/>
      <c r="C29" s="18"/>
      <c r="D29" s="19"/>
      <c r="E29" s="20"/>
      <c r="F29" s="18"/>
      <c r="G29" s="20"/>
      <c r="H29" s="20"/>
      <c r="I29" s="20"/>
      <c r="J29" s="21"/>
    </row>
    <row r="30" customFormat="false" ht="15" hidden="false" customHeight="false" outlineLevel="0" collapsed="false">
      <c r="A30" s="17"/>
      <c r="B30" s="18"/>
      <c r="C30" s="18"/>
      <c r="D30" s="19"/>
      <c r="E30" s="20"/>
      <c r="F30" s="18"/>
      <c r="G30" s="20"/>
      <c r="H30" s="20"/>
      <c r="I30" s="20"/>
      <c r="J30" s="21"/>
    </row>
    <row r="31" customFormat="false" ht="15" hidden="false" customHeight="false" outlineLevel="0" collapsed="false">
      <c r="A31" s="17"/>
      <c r="B31" s="18"/>
      <c r="C31" s="18"/>
      <c r="D31" s="19"/>
      <c r="E31" s="20"/>
      <c r="F31" s="18"/>
      <c r="G31" s="20"/>
      <c r="H31" s="20"/>
      <c r="I31" s="20"/>
      <c r="J31" s="21"/>
    </row>
    <row r="32" customFormat="false" ht="15" hidden="false" customHeight="false" outlineLevel="0" collapsed="false">
      <c r="A32" s="17"/>
      <c r="B32" s="18"/>
      <c r="C32" s="18"/>
      <c r="D32" s="19"/>
      <c r="E32" s="20"/>
      <c r="F32" s="18"/>
      <c r="G32" s="20"/>
      <c r="H32" s="20"/>
      <c r="I32" s="20"/>
      <c r="J32" s="21"/>
    </row>
    <row r="33" customFormat="false" ht="15" hidden="false" customHeight="false" outlineLevel="0" collapsed="false">
      <c r="A33" s="17"/>
      <c r="B33" s="18"/>
      <c r="C33" s="18"/>
      <c r="D33" s="19"/>
      <c r="E33" s="20"/>
      <c r="F33" s="18"/>
      <c r="G33" s="20"/>
      <c r="H33" s="20"/>
      <c r="I33" s="20"/>
      <c r="J33" s="21"/>
    </row>
    <row r="34" customFormat="false" ht="15" hidden="false" customHeight="false" outlineLevel="0" collapsed="false">
      <c r="A34" s="17"/>
      <c r="B34" s="18"/>
      <c r="C34" s="18"/>
      <c r="D34" s="19"/>
      <c r="E34" s="20"/>
      <c r="F34" s="18"/>
      <c r="G34" s="20"/>
      <c r="H34" s="20"/>
      <c r="I34" s="20"/>
      <c r="J34" s="21"/>
    </row>
    <row r="35" customFormat="false" ht="15" hidden="false" customHeight="false" outlineLevel="0" collapsed="false">
      <c r="A35" s="17"/>
      <c r="B35" s="18"/>
      <c r="C35" s="18"/>
      <c r="D35" s="19"/>
      <c r="E35" s="20"/>
      <c r="F35" s="18"/>
      <c r="G35" s="20"/>
      <c r="H35" s="20"/>
      <c r="I35" s="20"/>
      <c r="J35" s="21"/>
    </row>
    <row r="36" customFormat="false" ht="15" hidden="false" customHeight="false" outlineLevel="0" collapsed="false">
      <c r="A36" s="17"/>
      <c r="B36" s="18"/>
      <c r="C36" s="18"/>
      <c r="D36" s="19"/>
      <c r="E36" s="20"/>
      <c r="F36" s="18"/>
      <c r="G36" s="20"/>
      <c r="H36" s="20"/>
      <c r="I36" s="20"/>
      <c r="J36" s="21"/>
    </row>
    <row r="37" customFormat="false" ht="15" hidden="false" customHeight="false" outlineLevel="0" collapsed="false">
      <c r="A37" s="17"/>
      <c r="B37" s="18"/>
      <c r="C37" s="18"/>
      <c r="D37" s="19"/>
      <c r="E37" s="20"/>
      <c r="F37" s="18"/>
      <c r="G37" s="20"/>
      <c r="H37" s="20"/>
      <c r="I37" s="20"/>
      <c r="J37" s="21"/>
    </row>
    <row r="38" customFormat="false" ht="15" hidden="false" customHeight="false" outlineLevel="0" collapsed="false">
      <c r="A38" s="17"/>
      <c r="B38" s="18"/>
      <c r="C38" s="18"/>
      <c r="D38" s="19"/>
      <c r="E38" s="20"/>
      <c r="F38" s="18"/>
      <c r="G38" s="20"/>
      <c r="H38" s="20"/>
      <c r="I38" s="20"/>
      <c r="J38" s="21"/>
    </row>
    <row r="39" customFormat="false" ht="15" hidden="false" customHeight="false" outlineLevel="0" collapsed="false">
      <c r="A39" s="17"/>
      <c r="B39" s="18"/>
      <c r="C39" s="18"/>
      <c r="D39" s="19"/>
      <c r="E39" s="20"/>
      <c r="F39" s="18"/>
      <c r="G39" s="20"/>
      <c r="H39" s="20"/>
      <c r="I39" s="20"/>
      <c r="J39" s="21"/>
    </row>
    <row r="40" customFormat="false" ht="15" hidden="false" customHeight="false" outlineLevel="0" collapsed="false">
      <c r="A40" s="17"/>
      <c r="B40" s="18"/>
      <c r="C40" s="18"/>
      <c r="D40" s="19"/>
      <c r="E40" s="20"/>
      <c r="F40" s="18"/>
      <c r="G40" s="20"/>
      <c r="H40" s="20"/>
      <c r="I40" s="20"/>
      <c r="J40" s="21"/>
    </row>
    <row r="41" customFormat="false" ht="15" hidden="false" customHeight="false" outlineLevel="0" collapsed="false">
      <c r="A41" s="17"/>
      <c r="B41" s="18"/>
      <c r="C41" s="18"/>
      <c r="D41" s="19"/>
      <c r="E41" s="20"/>
      <c r="F41" s="18"/>
      <c r="G41" s="20"/>
      <c r="H41" s="20"/>
      <c r="I41" s="20"/>
      <c r="J41" s="21"/>
    </row>
    <row r="42" customFormat="false" ht="15" hidden="false" customHeight="false" outlineLevel="0" collapsed="false">
      <c r="A42" s="17"/>
      <c r="B42" s="18"/>
      <c r="C42" s="18"/>
      <c r="D42" s="19"/>
      <c r="E42" s="20"/>
      <c r="F42" s="18"/>
      <c r="G42" s="20"/>
      <c r="H42" s="20"/>
      <c r="I42" s="20"/>
      <c r="J42" s="21"/>
    </row>
    <row r="43" customFormat="false" ht="15" hidden="false" customHeight="false" outlineLevel="0" collapsed="false">
      <c r="A43" s="17"/>
      <c r="B43" s="18"/>
      <c r="C43" s="18"/>
      <c r="D43" s="19"/>
      <c r="E43" s="20"/>
      <c r="F43" s="18"/>
      <c r="G43" s="20"/>
      <c r="H43" s="20"/>
      <c r="I43" s="20"/>
      <c r="J43" s="21"/>
    </row>
    <row r="44" customFormat="false" ht="15" hidden="false" customHeight="false" outlineLevel="0" collapsed="false">
      <c r="A44" s="17"/>
      <c r="B44" s="18"/>
      <c r="C44" s="18"/>
      <c r="D44" s="19"/>
      <c r="E44" s="20"/>
      <c r="F44" s="18"/>
      <c r="G44" s="20"/>
      <c r="H44" s="20"/>
      <c r="I44" s="20"/>
      <c r="J44" s="21"/>
    </row>
    <row r="45" customFormat="false" ht="15" hidden="false" customHeight="false" outlineLevel="0" collapsed="false">
      <c r="A45" s="17"/>
      <c r="B45" s="18"/>
      <c r="C45" s="18"/>
      <c r="D45" s="19"/>
      <c r="E45" s="20"/>
      <c r="F45" s="18"/>
      <c r="G45" s="20"/>
      <c r="H45" s="20"/>
      <c r="I45" s="20"/>
      <c r="J45" s="21"/>
    </row>
    <row r="46" customFormat="false" ht="15" hidden="false" customHeight="false" outlineLevel="0" collapsed="false">
      <c r="A46" s="17"/>
      <c r="B46" s="18"/>
      <c r="C46" s="18"/>
      <c r="D46" s="19"/>
      <c r="E46" s="20"/>
      <c r="F46" s="18"/>
      <c r="G46" s="20"/>
      <c r="H46" s="20"/>
      <c r="I46" s="20"/>
      <c r="J46" s="21"/>
    </row>
    <row r="47" customFormat="false" ht="15" hidden="false" customHeight="false" outlineLevel="0" collapsed="false">
      <c r="A47" s="17"/>
      <c r="B47" s="18"/>
      <c r="C47" s="18"/>
      <c r="D47" s="19"/>
      <c r="E47" s="20"/>
      <c r="F47" s="18"/>
      <c r="G47" s="20"/>
      <c r="H47" s="20"/>
      <c r="I47" s="20"/>
      <c r="J47" s="21"/>
    </row>
    <row r="48" customFormat="false" ht="15" hidden="false" customHeight="false" outlineLevel="0" collapsed="false">
      <c r="A48" s="17"/>
      <c r="B48" s="18"/>
      <c r="C48" s="18"/>
      <c r="D48" s="19"/>
      <c r="E48" s="20"/>
      <c r="F48" s="18"/>
      <c r="G48" s="20"/>
      <c r="H48" s="20"/>
      <c r="I48" s="20"/>
      <c r="J48" s="21"/>
    </row>
    <row r="49" customFormat="false" ht="15" hidden="false" customHeight="false" outlineLevel="0" collapsed="false">
      <c r="A49" s="17"/>
      <c r="B49" s="18"/>
      <c r="C49" s="18"/>
      <c r="D49" s="19"/>
      <c r="E49" s="20"/>
      <c r="F49" s="18"/>
      <c r="G49" s="20"/>
      <c r="H49" s="20"/>
      <c r="I49" s="20"/>
      <c r="J49" s="21"/>
    </row>
    <row r="50" customFormat="false" ht="15" hidden="false" customHeight="false" outlineLevel="0" collapsed="false">
      <c r="A50" s="17"/>
      <c r="B50" s="18"/>
      <c r="C50" s="18"/>
      <c r="D50" s="19"/>
      <c r="E50" s="20"/>
      <c r="F50" s="18"/>
      <c r="G50" s="20"/>
      <c r="H50" s="20"/>
      <c r="I50" s="20"/>
      <c r="J50" s="21"/>
    </row>
    <row r="51" customFormat="false" ht="15" hidden="false" customHeight="false" outlineLevel="0" collapsed="false">
      <c r="A51" s="17"/>
      <c r="B51" s="18"/>
      <c r="C51" s="18"/>
      <c r="D51" s="19"/>
      <c r="E51" s="20"/>
      <c r="F51" s="18"/>
      <c r="G51" s="20"/>
      <c r="H51" s="20"/>
      <c r="I51" s="20"/>
      <c r="J51" s="21"/>
    </row>
    <row r="52" customFormat="false" ht="15" hidden="false" customHeight="false" outlineLevel="0" collapsed="false">
      <c r="A52" s="17"/>
      <c r="B52" s="18"/>
      <c r="C52" s="18"/>
      <c r="D52" s="19"/>
      <c r="E52" s="20"/>
      <c r="F52" s="18"/>
      <c r="G52" s="20"/>
      <c r="H52" s="20"/>
      <c r="I52" s="20"/>
      <c r="J52" s="21"/>
    </row>
    <row r="53" customFormat="false" ht="15" hidden="false" customHeight="false" outlineLevel="0" collapsed="false">
      <c r="A53" s="17"/>
      <c r="B53" s="18"/>
      <c r="C53" s="18"/>
      <c r="D53" s="19"/>
      <c r="E53" s="20"/>
      <c r="F53" s="18"/>
      <c r="G53" s="20"/>
      <c r="H53" s="20"/>
      <c r="I53" s="20"/>
      <c r="J53" s="21"/>
    </row>
    <row r="54" customFormat="false" ht="15" hidden="false" customHeight="false" outlineLevel="0" collapsed="false">
      <c r="A54" s="17"/>
      <c r="B54" s="18"/>
      <c r="C54" s="18"/>
      <c r="D54" s="19"/>
      <c r="E54" s="20"/>
      <c r="F54" s="18"/>
      <c r="G54" s="20"/>
      <c r="H54" s="20"/>
      <c r="I54" s="20"/>
      <c r="J54" s="21"/>
    </row>
    <row r="55" customFormat="false" ht="15" hidden="false" customHeight="false" outlineLevel="0" collapsed="false">
      <c r="A55" s="17"/>
      <c r="B55" s="18"/>
      <c r="C55" s="18"/>
      <c r="D55" s="19"/>
      <c r="E55" s="20"/>
      <c r="F55" s="18"/>
      <c r="G55" s="20"/>
      <c r="H55" s="20"/>
      <c r="I55" s="20"/>
      <c r="J55" s="21"/>
    </row>
    <row r="56" customFormat="false" ht="15" hidden="false" customHeight="false" outlineLevel="0" collapsed="false">
      <c r="A56" s="17"/>
      <c r="B56" s="18"/>
      <c r="C56" s="18"/>
      <c r="D56" s="19"/>
      <c r="E56" s="20"/>
      <c r="F56" s="18"/>
      <c r="G56" s="20"/>
      <c r="H56" s="20"/>
      <c r="I56" s="20"/>
      <c r="J56" s="21"/>
    </row>
    <row r="57" customFormat="false" ht="15" hidden="false" customHeight="false" outlineLevel="0" collapsed="false">
      <c r="A57" s="17"/>
      <c r="B57" s="18"/>
      <c r="C57" s="18"/>
      <c r="D57" s="19"/>
      <c r="E57" s="20"/>
      <c r="F57" s="18"/>
      <c r="G57" s="20"/>
      <c r="H57" s="20"/>
      <c r="I57" s="20"/>
      <c r="J57" s="21"/>
    </row>
    <row r="58" customFormat="false" ht="15" hidden="false" customHeight="false" outlineLevel="0" collapsed="false">
      <c r="A58" s="17"/>
      <c r="B58" s="18"/>
      <c r="C58" s="18"/>
      <c r="D58" s="19"/>
      <c r="E58" s="20"/>
      <c r="F58" s="18"/>
      <c r="G58" s="20"/>
      <c r="H58" s="20"/>
      <c r="I58" s="20"/>
      <c r="J58" s="21"/>
    </row>
    <row r="59" customFormat="false" ht="15" hidden="false" customHeight="false" outlineLevel="0" collapsed="false">
      <c r="A59" s="17"/>
      <c r="B59" s="18"/>
      <c r="C59" s="18"/>
      <c r="D59" s="19"/>
      <c r="E59" s="20"/>
      <c r="F59" s="18"/>
      <c r="G59" s="20"/>
      <c r="H59" s="20"/>
      <c r="I59" s="20"/>
      <c r="J59" s="21"/>
    </row>
  </sheetData>
  <dataValidations count="4">
    <dataValidation allowBlank="false" error="Enter 0 to 7" errorStyle="stop" operator="between" showDropDown="false" showErrorMessage="true" showInputMessage="false" sqref="E2:E59" type="whole">
      <formula1>0</formula1>
      <formula2>7</formula2>
    </dataValidation>
    <dataValidation allowBlank="true" errorStyle="stop" operator="between" showDropDown="false" showErrorMessage="false" showInputMessage="false" sqref="G2:G59" type="list">
      <formula1>"1,2,3,4,5"</formula1>
      <formula2>0</formula2>
    </dataValidation>
    <dataValidation allowBlank="true" errorStyle="stop" operator="between" showDropDown="false" showErrorMessage="false" showInputMessage="false" sqref="H2:H59" type="list">
      <formula1>"Yes,No"</formula1>
      <formula2>0</formula2>
    </dataValidation>
    <dataValidation allowBlank="false" error="Enter a date" errorStyle="stop" operator="greaterThan" showDropDown="false" showErrorMessage="true" showInputMessage="false" sqref="A2:A59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6"/>
  </cols>
  <sheetData>
    <row r="2" customFormat="false" ht="22.05" hidden="false" customHeight="false" outlineLevel="0" collapsed="false">
      <c r="B2" s="5" t="s">
        <v>49</v>
      </c>
    </row>
    <row r="3" customFormat="false" ht="15" hidden="false" customHeight="false" outlineLevel="0" collapsed="false">
      <c r="B3" s="8" t="s">
        <v>50</v>
      </c>
    </row>
    <row r="5" customFormat="false" ht="15" hidden="false" customHeight="false" outlineLevel="0" collapsed="false">
      <c r="B5" s="22" t="s">
        <v>51</v>
      </c>
      <c r="C5" s="23" t="n">
        <f aca="false">COUNT('Check-in'!A2:A59)</f>
        <v>8</v>
      </c>
    </row>
    <row r="6" customFormat="false" ht="15" hidden="false" customHeight="false" outlineLevel="0" collapsed="false">
      <c r="B6" s="22" t="s">
        <v>52</v>
      </c>
      <c r="C6" s="24" t="n">
        <f aca="false">IFERROR(INDEX('Check-in'!B2:B59,MATCH(MIN('Check-in'!A2:A59),'Check-in'!A2:A59,0)),"-")</f>
        <v>82.4</v>
      </c>
    </row>
    <row r="7" customFormat="false" ht="15" hidden="false" customHeight="false" outlineLevel="0" collapsed="false">
      <c r="B7" s="22" t="s">
        <v>53</v>
      </c>
      <c r="C7" s="24" t="n">
        <f aca="false">IFERROR(INDEX('Check-in'!B2:B59,MATCH(MAX('Check-in'!A2:A59),'Check-in'!A2:A59,0)),"-")</f>
        <v>79.8</v>
      </c>
    </row>
    <row r="8" customFormat="false" ht="15" hidden="false" customHeight="false" outlineLevel="0" collapsed="false">
      <c r="B8" s="22" t="s">
        <v>54</v>
      </c>
      <c r="C8" s="25" t="n">
        <f aca="false">IFERROR(C7-C6,"-")</f>
        <v>-2.60000000000001</v>
      </c>
    </row>
    <row r="9" customFormat="false" ht="15" hidden="false" customHeight="false" outlineLevel="0" collapsed="false">
      <c r="B9" s="22" t="s">
        <v>55</v>
      </c>
      <c r="C9" s="26" t="n">
        <f aca="false">IFERROR(INDEX('Check-in'!C2:C59,MATCH(MAX('Check-in'!A2:A59),'Check-in'!A2:A59,0))-INDEX('Check-in'!C2:C59,MATCH(MIN('Check-in'!A2:A59),'Check-in'!A2:A59,0)),"-")</f>
        <v>-5</v>
      </c>
    </row>
    <row r="10" customFormat="false" ht="15" hidden="false" customHeight="false" outlineLevel="0" collapsed="false">
      <c r="B10" s="22" t="s">
        <v>56</v>
      </c>
      <c r="C10" s="27" t="n">
        <f aca="false">IFERROR(AVERAGEIFS('Check-in'!D2:D59,'Check-in'!A2:A59,"&gt;="&amp;(MAX('Check-in'!A2:A59)-21)),"-")</f>
        <v>8750</v>
      </c>
    </row>
    <row r="11" customFormat="false" ht="15" hidden="false" customHeight="false" outlineLevel="0" collapsed="false">
      <c r="B11" s="22" t="s">
        <v>57</v>
      </c>
      <c r="C11" s="24" t="n">
        <f aca="false">IFERROR(AVERAGE('Check-in'!E2:E59),"-")</f>
        <v>3.75</v>
      </c>
    </row>
    <row r="12" customFormat="false" ht="15" hidden="false" customHeight="false" outlineLevel="0" collapsed="false">
      <c r="B12" s="22" t="s">
        <v>20</v>
      </c>
      <c r="C12" s="28" t="n">
        <f aca="false">IFERROR(COUNTIF('Check-in'!H2:H59,"Yes")/COUNTA('Check-in'!H2:H59),"-")</f>
        <v>0.875</v>
      </c>
    </row>
    <row r="13" customFormat="false" ht="15" hidden="false" customHeight="false" outlineLevel="0" collapsed="false">
      <c r="B13" s="22" t="s">
        <v>58</v>
      </c>
      <c r="C13" s="24" t="n">
        <f aca="false">IFERROR(AVERAGE('Check-in'!G2:G59),"-")</f>
        <v>3.5</v>
      </c>
    </row>
  </sheetData>
  <conditionalFormatting sqref="C8">
    <cfRule type="cellIs" priority="2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</cols>
  <sheetData>
    <row r="1" customFormat="false" ht="15" hidden="false" customHeight="false" outlineLevel="0" collapsed="false">
      <c r="A1" s="29" t="s">
        <v>14</v>
      </c>
      <c r="B1" s="29" t="s">
        <v>31</v>
      </c>
      <c r="C1" s="29" t="s">
        <v>32</v>
      </c>
      <c r="D1" s="29" t="s">
        <v>35</v>
      </c>
      <c r="E1" s="29" t="s">
        <v>38</v>
      </c>
    </row>
    <row r="2" customFormat="false" ht="15" hidden="false" customHeight="false" outlineLevel="0" collapsed="false">
      <c r="A2" s="21" t="s">
        <v>22</v>
      </c>
      <c r="B2" s="30" t="n">
        <v>46244</v>
      </c>
      <c r="C2" s="31" t="n">
        <v>82.4</v>
      </c>
      <c r="D2" s="21" t="n">
        <v>3</v>
      </c>
      <c r="E2" s="21" t="s">
        <v>41</v>
      </c>
    </row>
    <row r="3" customFormat="false" ht="15" hidden="false" customHeight="false" outlineLevel="0" collapsed="false">
      <c r="A3" s="21" t="s">
        <v>22</v>
      </c>
      <c r="B3" s="30" t="n">
        <v>46251</v>
      </c>
      <c r="C3" s="31" t="n">
        <v>81.9</v>
      </c>
      <c r="D3" s="21" t="n">
        <v>4</v>
      </c>
      <c r="E3" s="21" t="s">
        <v>41</v>
      </c>
    </row>
    <row r="4" customFormat="false" ht="15" hidden="false" customHeight="false" outlineLevel="0" collapsed="false">
      <c r="A4" s="21" t="s">
        <v>22</v>
      </c>
      <c r="B4" s="30" t="n">
        <v>46258</v>
      </c>
      <c r="C4" s="31" t="n">
        <v>81.6</v>
      </c>
      <c r="D4" s="21" t="n">
        <v>3</v>
      </c>
      <c r="E4" s="21" t="s">
        <v>44</v>
      </c>
    </row>
    <row r="5" customFormat="false" ht="15" hidden="false" customHeight="false" outlineLevel="0" collapsed="false">
      <c r="A5" s="21" t="s">
        <v>22</v>
      </c>
      <c r="B5" s="30" t="n">
        <v>46265</v>
      </c>
      <c r="C5" s="31" t="n">
        <v>81</v>
      </c>
      <c r="D5" s="21" t="n">
        <v>4</v>
      </c>
      <c r="E5" s="21" t="s">
        <v>41</v>
      </c>
    </row>
    <row r="6" customFormat="false" ht="15" hidden="false" customHeight="false" outlineLevel="0" collapsed="false">
      <c r="A6" s="21" t="s">
        <v>22</v>
      </c>
      <c r="B6" s="30" t="n">
        <v>46272</v>
      </c>
      <c r="C6" s="31" t="n">
        <v>80.7</v>
      </c>
      <c r="D6" s="21" t="n">
        <v>4</v>
      </c>
      <c r="E6" s="21" t="s">
        <v>41</v>
      </c>
    </row>
    <row r="7" customFormat="false" ht="15" hidden="false" customHeight="false" outlineLevel="0" collapsed="false">
      <c r="A7" s="21" t="s">
        <v>22</v>
      </c>
      <c r="B7" s="30" t="n">
        <v>46279</v>
      </c>
      <c r="C7" s="31" t="n">
        <v>80.8</v>
      </c>
      <c r="D7" s="21" t="n">
        <v>3</v>
      </c>
      <c r="E7" s="21" t="s">
        <v>41</v>
      </c>
    </row>
    <row r="8" customFormat="false" ht="15" hidden="false" customHeight="false" outlineLevel="0" collapsed="false">
      <c r="A8" s="21" t="s">
        <v>22</v>
      </c>
      <c r="B8" s="30" t="n">
        <v>46286</v>
      </c>
      <c r="C8" s="31" t="n">
        <v>80.1</v>
      </c>
      <c r="D8" s="21" t="n">
        <v>5</v>
      </c>
      <c r="E8" s="21" t="s">
        <v>41</v>
      </c>
    </row>
    <row r="9" customFormat="false" ht="15" hidden="false" customHeight="false" outlineLevel="0" collapsed="false">
      <c r="A9" s="21" t="s">
        <v>22</v>
      </c>
      <c r="B9" s="30" t="n">
        <v>46293</v>
      </c>
      <c r="C9" s="31" t="n">
        <v>79.8</v>
      </c>
      <c r="D9" s="21" t="n">
        <v>4</v>
      </c>
      <c r="E9" s="21" t="s">
        <v>41</v>
      </c>
    </row>
    <row r="10" customFormat="false" ht="15" hidden="false" customHeight="false" outlineLevel="0" collapsed="false">
      <c r="A10" s="21" t="s">
        <v>24</v>
      </c>
      <c r="B10" s="30" t="n">
        <v>46244</v>
      </c>
      <c r="C10" s="31" t="n">
        <v>70.1</v>
      </c>
      <c r="D10" s="21" t="n">
        <v>4</v>
      </c>
      <c r="E10" s="21" t="s">
        <v>41</v>
      </c>
    </row>
    <row r="11" customFormat="false" ht="15" hidden="false" customHeight="false" outlineLevel="0" collapsed="false">
      <c r="A11" s="21" t="s">
        <v>24</v>
      </c>
      <c r="B11" s="30" t="n">
        <v>46251</v>
      </c>
      <c r="C11" s="31" t="n">
        <v>70.4</v>
      </c>
      <c r="D11" s="21" t="n">
        <v>4</v>
      </c>
      <c r="E11" s="21" t="s">
        <v>41</v>
      </c>
    </row>
    <row r="12" customFormat="false" ht="15" hidden="false" customHeight="false" outlineLevel="0" collapsed="false">
      <c r="A12" s="21" t="s">
        <v>24</v>
      </c>
      <c r="B12" s="30" t="n">
        <v>46258</v>
      </c>
      <c r="C12" s="31" t="n">
        <v>70.6</v>
      </c>
      <c r="D12" s="21" t="n">
        <v>5</v>
      </c>
      <c r="E12" s="21" t="s">
        <v>41</v>
      </c>
    </row>
    <row r="13" customFormat="false" ht="15" hidden="false" customHeight="false" outlineLevel="0" collapsed="false">
      <c r="A13" s="21" t="s">
        <v>24</v>
      </c>
      <c r="B13" s="30" t="n">
        <v>46265</v>
      </c>
      <c r="C13" s="31" t="n">
        <v>70.9</v>
      </c>
      <c r="D13" s="21" t="n">
        <v>4</v>
      </c>
      <c r="E13" s="21" t="s">
        <v>44</v>
      </c>
    </row>
    <row r="14" customFormat="false" ht="15" hidden="false" customHeight="false" outlineLevel="0" collapsed="false">
      <c r="A14" s="21" t="s">
        <v>24</v>
      </c>
      <c r="B14" s="30" t="n">
        <v>46272</v>
      </c>
      <c r="C14" s="31" t="n">
        <v>71.2</v>
      </c>
      <c r="D14" s="21" t="n">
        <v>4</v>
      </c>
      <c r="E14" s="21" t="s">
        <v>41</v>
      </c>
    </row>
    <row r="15" customFormat="false" ht="15" hidden="false" customHeight="false" outlineLevel="0" collapsed="false">
      <c r="A15" s="21" t="s">
        <v>24</v>
      </c>
      <c r="B15" s="30" t="n">
        <v>46279</v>
      </c>
      <c r="C15" s="31" t="n">
        <v>71.3</v>
      </c>
      <c r="D15" s="21" t="n">
        <v>5</v>
      </c>
      <c r="E15" s="21" t="s">
        <v>41</v>
      </c>
    </row>
    <row r="16" customFormat="false" ht="15" hidden="false" customHeight="false" outlineLevel="0" collapsed="false">
      <c r="A16" s="21" t="s">
        <v>24</v>
      </c>
      <c r="B16" s="30" t="n">
        <v>46286</v>
      </c>
      <c r="C16" s="31" t="n">
        <v>71.7</v>
      </c>
      <c r="D16" s="21" t="n">
        <v>4</v>
      </c>
      <c r="E16" s="21" t="s">
        <v>41</v>
      </c>
    </row>
    <row r="17" customFormat="false" ht="15" hidden="false" customHeight="false" outlineLevel="0" collapsed="false">
      <c r="A17" s="21" t="s">
        <v>24</v>
      </c>
      <c r="B17" s="30" t="n">
        <v>46293</v>
      </c>
      <c r="C17" s="31" t="n">
        <v>72</v>
      </c>
      <c r="D17" s="21" t="n">
        <v>5</v>
      </c>
      <c r="E17" s="21" t="s">
        <v>41</v>
      </c>
    </row>
    <row r="18" customFormat="false" ht="15" hidden="false" customHeight="false" outlineLevel="0" collapsed="false">
      <c r="A18" s="21" t="s">
        <v>26</v>
      </c>
      <c r="B18" s="30" t="n">
        <v>46244</v>
      </c>
      <c r="C18" s="31" t="n">
        <v>95</v>
      </c>
      <c r="D18" s="21" t="n">
        <v>2</v>
      </c>
      <c r="E18" s="21" t="s">
        <v>44</v>
      </c>
    </row>
    <row r="19" customFormat="false" ht="15" hidden="false" customHeight="false" outlineLevel="0" collapsed="false">
      <c r="A19" s="21" t="s">
        <v>26</v>
      </c>
      <c r="B19" s="30" t="n">
        <v>46251</v>
      </c>
      <c r="C19" s="31" t="n">
        <v>94.8</v>
      </c>
      <c r="D19" s="21" t="n">
        <v>1</v>
      </c>
      <c r="E19" s="21" t="s">
        <v>44</v>
      </c>
    </row>
    <row r="20" customFormat="false" ht="15" hidden="false" customHeight="false" outlineLevel="0" collapsed="false">
      <c r="A20" s="21" t="s">
        <v>26</v>
      </c>
      <c r="B20" s="30" t="n">
        <v>46258</v>
      </c>
      <c r="C20" s="31" t="n">
        <v>95.1</v>
      </c>
      <c r="D20" s="21" t="n">
        <v>2</v>
      </c>
      <c r="E20" s="21" t="s">
        <v>41</v>
      </c>
    </row>
    <row r="21" customFormat="false" ht="15" hidden="false" customHeight="false" outlineLevel="0" collapsed="false">
      <c r="A21" s="21" t="s">
        <v>26</v>
      </c>
      <c r="B21" s="30" t="n">
        <v>46265</v>
      </c>
      <c r="C21" s="31" t="n">
        <v>95.3</v>
      </c>
      <c r="D21" s="21" t="n">
        <v>1</v>
      </c>
      <c r="E21" s="21" t="s">
        <v>44</v>
      </c>
    </row>
    <row r="22" customFormat="false" ht="15" hidden="false" customHeight="false" outlineLevel="0" collapsed="false">
      <c r="A22" s="21" t="s">
        <v>26</v>
      </c>
      <c r="B22" s="30" t="n">
        <v>46272</v>
      </c>
      <c r="C22" s="31" t="n">
        <v>95</v>
      </c>
      <c r="D22" s="21" t="n">
        <v>1</v>
      </c>
      <c r="E22" s="21" t="s">
        <v>44</v>
      </c>
    </row>
    <row r="23" customFormat="false" ht="15" hidden="false" customHeight="false" outlineLevel="0" collapsed="false">
      <c r="A23" s="21" t="s">
        <v>26</v>
      </c>
      <c r="B23" s="30" t="n">
        <v>46279</v>
      </c>
      <c r="C23" s="31" t="n">
        <v>95.4</v>
      </c>
      <c r="D23" s="21" t="n">
        <v>0</v>
      </c>
      <c r="E23" s="21" t="s">
        <v>44</v>
      </c>
    </row>
    <row r="24" customFormat="false" ht="15" hidden="false" customHeight="false" outlineLevel="0" collapsed="false">
      <c r="A24" s="21" t="s">
        <v>27</v>
      </c>
      <c r="B24" s="30" t="n">
        <v>46244</v>
      </c>
      <c r="C24" s="31" t="n">
        <v>77.2</v>
      </c>
      <c r="D24" s="21" t="n">
        <v>3</v>
      </c>
      <c r="E24" s="21" t="s">
        <v>41</v>
      </c>
    </row>
    <row r="25" customFormat="false" ht="15" hidden="false" customHeight="false" outlineLevel="0" collapsed="false">
      <c r="A25" s="21" t="s">
        <v>27</v>
      </c>
      <c r="B25" s="30" t="n">
        <v>46251</v>
      </c>
      <c r="C25" s="31" t="n">
        <v>77</v>
      </c>
      <c r="D25" s="21" t="n">
        <v>3</v>
      </c>
      <c r="E25" s="21" t="s">
        <v>41</v>
      </c>
    </row>
    <row r="26" customFormat="false" ht="15" hidden="false" customHeight="false" outlineLevel="0" collapsed="false">
      <c r="A26" s="21" t="s">
        <v>27</v>
      </c>
      <c r="B26" s="30" t="n">
        <v>46258</v>
      </c>
      <c r="C26" s="31" t="n">
        <v>77.3</v>
      </c>
      <c r="D26" s="21" t="n">
        <v>3</v>
      </c>
      <c r="E26" s="21" t="s">
        <v>41</v>
      </c>
    </row>
    <row r="27" customFormat="false" ht="15" hidden="false" customHeight="false" outlineLevel="0" collapsed="false">
      <c r="A27" s="21" t="s">
        <v>27</v>
      </c>
      <c r="B27" s="30" t="n">
        <v>46265</v>
      </c>
      <c r="C27" s="31" t="n">
        <v>77.1</v>
      </c>
      <c r="D27" s="21" t="n">
        <v>4</v>
      </c>
      <c r="E27" s="21" t="s">
        <v>41</v>
      </c>
    </row>
    <row r="28" customFormat="false" ht="15" hidden="false" customHeight="false" outlineLevel="0" collapsed="false">
      <c r="A28" s="21" t="s">
        <v>27</v>
      </c>
      <c r="B28" s="30" t="n">
        <v>46272</v>
      </c>
      <c r="C28" s="31" t="n">
        <v>77.2</v>
      </c>
      <c r="D28" s="21" t="n">
        <v>3</v>
      </c>
      <c r="E28" s="21" t="s">
        <v>44</v>
      </c>
    </row>
    <row r="29" customFormat="false" ht="15" hidden="false" customHeight="false" outlineLevel="0" collapsed="false">
      <c r="A29" s="21" t="s">
        <v>27</v>
      </c>
      <c r="B29" s="30" t="n">
        <v>46279</v>
      </c>
      <c r="C29" s="31" t="n">
        <v>77</v>
      </c>
      <c r="D29" s="21" t="n">
        <v>3</v>
      </c>
      <c r="E29" s="21" t="s">
        <v>41</v>
      </c>
    </row>
    <row r="30" customFormat="false" ht="15" hidden="false" customHeight="false" outlineLevel="0" collapsed="false">
      <c r="A30" s="21" t="s">
        <v>27</v>
      </c>
      <c r="B30" s="30" t="n">
        <v>46286</v>
      </c>
      <c r="C30" s="31" t="n">
        <v>77.1</v>
      </c>
      <c r="D30" s="21" t="n">
        <v>3</v>
      </c>
      <c r="E30" s="21" t="s">
        <v>41</v>
      </c>
    </row>
    <row r="31" customFormat="false" ht="15" hidden="false" customHeight="false" outlineLevel="0" collapsed="false">
      <c r="A31" s="21" t="s">
        <v>27</v>
      </c>
      <c r="B31" s="30" t="n">
        <v>46293</v>
      </c>
      <c r="C31" s="31" t="n">
        <v>77.2</v>
      </c>
      <c r="D31" s="21" t="n">
        <v>4</v>
      </c>
      <c r="E31" s="21" t="s">
        <v>41</v>
      </c>
    </row>
    <row r="32" customFormat="false" ht="15" hidden="false" customHeight="false" outlineLevel="0" collapsed="false">
      <c r="A32" s="21" t="s">
        <v>29</v>
      </c>
      <c r="B32" s="30" t="n">
        <v>46248</v>
      </c>
      <c r="C32" s="31" t="n">
        <v>68.5</v>
      </c>
      <c r="D32" s="21" t="n">
        <v>3</v>
      </c>
      <c r="E32" s="21" t="s">
        <v>41</v>
      </c>
    </row>
    <row r="33" customFormat="false" ht="15" hidden="false" customHeight="false" outlineLevel="0" collapsed="false">
      <c r="A33" s="21" t="s">
        <v>29</v>
      </c>
      <c r="B33" s="30" t="n">
        <v>46255</v>
      </c>
      <c r="C33" s="31" t="n">
        <v>68.3</v>
      </c>
      <c r="D33" s="21" t="n">
        <v>2</v>
      </c>
      <c r="E33" s="21" t="s">
        <v>44</v>
      </c>
    </row>
    <row r="34" customFormat="false" ht="15" hidden="false" customHeight="false" outlineLevel="0" collapsed="false">
      <c r="A34" s="21" t="s">
        <v>29</v>
      </c>
      <c r="B34" s="30" t="n">
        <v>46262</v>
      </c>
      <c r="C34" s="31" t="n">
        <v>68.4</v>
      </c>
      <c r="D34" s="21" t="n">
        <v>2</v>
      </c>
      <c r="E34" s="21" t="s">
        <v>44</v>
      </c>
    </row>
    <row r="35" customFormat="false" ht="15" hidden="false" customHeight="false" outlineLevel="0" collapsed="false">
      <c r="A35" s="21" t="s">
        <v>29</v>
      </c>
      <c r="B35" s="30" t="n">
        <v>46269</v>
      </c>
      <c r="C35" s="31" t="n">
        <v>68.6</v>
      </c>
      <c r="D35" s="21" t="n">
        <v>2</v>
      </c>
      <c r="E35" s="21" t="s">
        <v>41</v>
      </c>
    </row>
    <row r="36" customFormat="false" ht="15" hidden="false" customHeight="false" outlineLevel="0" collapsed="false">
      <c r="A36" s="21" t="s">
        <v>29</v>
      </c>
      <c r="B36" s="30" t="n">
        <v>46276</v>
      </c>
      <c r="C36" s="31" t="n">
        <v>68.9</v>
      </c>
      <c r="D36" s="21" t="n">
        <v>1</v>
      </c>
      <c r="E36" s="21" t="s">
        <v>44</v>
      </c>
    </row>
    <row r="37" customFormat="false" ht="15" hidden="false" customHeight="false" outlineLevel="0" collapsed="false">
      <c r="A37" s="21" t="s">
        <v>29</v>
      </c>
      <c r="B37" s="30" t="n">
        <v>46283</v>
      </c>
      <c r="C37" s="31" t="n">
        <v>69.1</v>
      </c>
      <c r="D37" s="21" t="n">
        <v>2</v>
      </c>
      <c r="E37" s="21" t="s">
        <v>44</v>
      </c>
    </row>
    <row r="38" customFormat="false" ht="15" hidden="false" customHeight="false" outlineLevel="0" collapsed="false">
      <c r="A38" s="21" t="s">
        <v>29</v>
      </c>
      <c r="B38" s="30" t="n">
        <v>46290</v>
      </c>
      <c r="C38" s="31" t="n">
        <v>69</v>
      </c>
      <c r="D38" s="21" t="n">
        <v>1</v>
      </c>
      <c r="E38" s="21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2026-10-05T21:25:14Z</dcterms:created>
  <dc:creator>openpyxl</dc:creator>
  <dc:description/>
  <dc:language>en-US</dc:language>
  <cp:lastModifiedBy/>
  <dcterms:modified xsi:type="dcterms:W3CDTF">2026-10-05T21:25:16Z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